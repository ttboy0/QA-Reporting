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\qa_reporting_system_final\"/>
    </mc:Choice>
  </mc:AlternateContent>
  <xr:revisionPtr revIDLastSave="0" documentId="13_ncr:1_{A42F10CF-6D75-424E-8ED5-A4861A78A024}" xr6:coauthVersionLast="47" xr6:coauthVersionMax="47" xr10:uidLastSave="{00000000-0000-0000-0000-000000000000}"/>
  <bookViews>
    <workbookView xWindow="25215" yWindow="8220" windowWidth="21270" windowHeight="18645" xr2:uid="{00000000-000D-0000-FFFF-FFFF00000000}"/>
  </bookViews>
  <sheets>
    <sheet name="API Data" sheetId="1" r:id="rId1"/>
    <sheet name="Web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D13" i="2"/>
  <c r="C13" i="2"/>
  <c r="F13" i="2" s="1"/>
  <c r="B13" i="2"/>
  <c r="E13" i="1"/>
  <c r="D13" i="1"/>
  <c r="C13" i="1"/>
  <c r="F13" i="1" s="1"/>
  <c r="B13" i="1"/>
</calcChain>
</file>

<file path=xl/sharedStrings.xml><?xml version="1.0" encoding="utf-8"?>
<sst xmlns="http://schemas.openxmlformats.org/spreadsheetml/2006/main" count="130" uniqueCount="82">
  <si>
    <t>API TESTING STATUS REPORT - DATA ENTRY</t>
  </si>
  <si>
    <t>Report Period:</t>
  </si>
  <si>
    <t>API Test Lead:</t>
  </si>
  <si>
    <t>David Park</t>
  </si>
  <si>
    <t>Lead Email:</t>
  </si>
  <si>
    <t>API TEST SUITES SUMMARY</t>
  </si>
  <si>
    <t>Test Suite</t>
  </si>
  <si>
    <t>Total Tests</t>
  </si>
  <si>
    <t>Passed</t>
  </si>
  <si>
    <t>Failed</t>
  </si>
  <si>
    <t>Blocked</t>
  </si>
  <si>
    <t>Pass Rate %</t>
  </si>
  <si>
    <t>Status</t>
  </si>
  <si>
    <t>Authentication API</t>
  </si>
  <si>
    <t>Stable</t>
  </si>
  <si>
    <t>Payment Processing</t>
  </si>
  <si>
    <t>Monitor</t>
  </si>
  <si>
    <t>Inventory Management</t>
  </si>
  <si>
    <t>Reporting Engine</t>
  </si>
  <si>
    <t>TOTALS</t>
  </si>
  <si>
    <t>DEFECT BREAKDOWN BY PRIORITY</t>
  </si>
  <si>
    <t>Priority</t>
  </si>
  <si>
    <t>Count</t>
  </si>
  <si>
    <t>Critical</t>
  </si>
  <si>
    <t>Resolved</t>
  </si>
  <si>
    <t>High</t>
  </si>
  <si>
    <t>In Progress</t>
  </si>
  <si>
    <t>Medium</t>
  </si>
  <si>
    <t>Scheduled</t>
  </si>
  <si>
    <t>Low</t>
  </si>
  <si>
    <t>Backlog</t>
  </si>
  <si>
    <t>AUTOMATION COVERAGE BY AREA</t>
  </si>
  <si>
    <t>Area</t>
  </si>
  <si>
    <t>Coverage %</t>
  </si>
  <si>
    <t>Authentication</t>
  </si>
  <si>
    <t>Payment</t>
  </si>
  <si>
    <t>Inventory</t>
  </si>
  <si>
    <t>Reporting</t>
  </si>
  <si>
    <t>RISKS &amp; HIGH PRIORITY ISSUES</t>
  </si>
  <si>
    <t>Issue ID</t>
  </si>
  <si>
    <t>Description</t>
  </si>
  <si>
    <t>Assigned Owner</t>
  </si>
  <si>
    <t>Target Date</t>
  </si>
  <si>
    <t>API-001</t>
  </si>
  <si>
    <t>Payment Gateway: Multi-currency edge cases failing</t>
  </si>
  <si>
    <t>HIGH</t>
  </si>
  <si>
    <t>Michael Chen</t>
  </si>
  <si>
    <t>Jan 15</t>
  </si>
  <si>
    <t>API-002</t>
  </si>
  <si>
    <t>Reporting Engine: Performance degradation &gt;500 req/s</t>
  </si>
  <si>
    <t>Jan 16</t>
  </si>
  <si>
    <t>API-003</t>
  </si>
  <si>
    <t>Authentication: Session timeout edge case</t>
  </si>
  <si>
    <t>MEDIUM</t>
  </si>
  <si>
    <t>Jan 11</t>
  </si>
  <si>
    <t>WEB TESTING STATUS REPORT - DATA ENTRY</t>
  </si>
  <si>
    <t>UI Test Lead:</t>
  </si>
  <si>
    <t>Jessica Martinez</t>
  </si>
  <si>
    <t>WEB TEST SUITES SUMMARY</t>
  </si>
  <si>
    <t>Login &amp; Auth Flow</t>
  </si>
  <si>
    <t>Checkout Flow</t>
  </si>
  <si>
    <t>Product Search</t>
  </si>
  <si>
    <t>Good</t>
  </si>
  <si>
    <t>Dashboard &amp; Reports</t>
  </si>
  <si>
    <t>Action</t>
  </si>
  <si>
    <t>Login &amp; Auth</t>
  </si>
  <si>
    <t>Dashboard</t>
  </si>
  <si>
    <t>SEL-001</t>
  </si>
  <si>
    <t>Checkout Flow: UI elements not rendering on Safari</t>
  </si>
  <si>
    <t>Jan 14</t>
  </si>
  <si>
    <t>SEL-002</t>
  </si>
  <si>
    <t>Dashboard: Data table pagination failing in Firefox</t>
  </si>
  <si>
    <t>Robert Thompson</t>
  </si>
  <si>
    <t>Jan 20</t>
  </si>
  <si>
    <t>SEL-003</t>
  </si>
  <si>
    <t>Mobile Responsive: Button alignment issue on Android</t>
  </si>
  <si>
    <t>Jan 22</t>
  </si>
  <si>
    <t>Chhavi Park</t>
  </si>
  <si>
    <t>Chhavi.park@company.com</t>
  </si>
  <si>
    <t>Week of Jan 19-22, 2026</t>
  </si>
  <si>
    <t>Checkout Flow 2</t>
  </si>
  <si>
    <t>Inventory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</si>
</sst>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C2C54"/>
      <name val="Calibri"/>
    </font>
    <font>
      <b/>
      <sz val="11"/>
      <color rgb="FF2C2C54"/>
      <name val="Calibri"/>
    </font>
    <font>
      <b/>
      <sz val="12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AF6"/>
        <bgColor rgb="FFE8EAF6"/>
      </patternFill>
    </fill>
    <fill>
      <patternFill patternType="solid">
        <fgColor rgb="FF2C2C54"/>
        <bgColor rgb="FF2C2C5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3" fillId="3" borderId="1" xfId="0" applyFont="1" applyFill="1" applyBorder="1"/>
    <xf numFmtId="0" fontId="5" fillId="0" borderId="0" xfId="1"/>
    <xf numFmtId="0" fontId="2" fillId="2" borderId="0" xfId="0" applyFont="1" applyFill="1"/>
    <xf numFmtId="0" fontId="0" fillId="0" borderId="0" xfId="0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havi.park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hhavi.park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A27" sqref="A27"/>
    </sheetView>
  </sheetViews>
  <sheetFormatPr defaultRowHeight="15" x14ac:dyDescent="0.25"/>
  <cols>
    <col min="1" max="1" width="25" customWidth="1"/>
    <col min="2" max="2" width="15" customWidth="1"/>
    <col min="3" max="6" width="12" customWidth="1"/>
    <col min="7" max="7" width="15" customWidth="1"/>
  </cols>
  <sheetData>
    <row r="1" spans="1:7" ht="18.75" x14ac:dyDescent="0.3">
      <c r="A1" s="9" t="s">
        <v>0</v>
      </c>
      <c r="B1" s="8"/>
      <c r="C1" s="8"/>
      <c r="D1" s="8"/>
      <c r="E1" s="8"/>
      <c r="F1" s="8"/>
    </row>
    <row r="3" spans="1:7" x14ac:dyDescent="0.25">
      <c r="A3" t="s">
        <v>1</v>
      </c>
      <c r="B3" t="s">
        <v>79</v>
      </c>
    </row>
    <row r="4" spans="1:7" x14ac:dyDescent="0.25">
      <c r="A4" t="s">
        <v>2</v>
      </c>
      <c r="B4" t="s">
        <v>77</v>
      </c>
    </row>
    <row r="5" spans="1:7" x14ac:dyDescent="0.25">
      <c r="A5" t="s">
        <v>4</v>
      </c>
      <c r="B5" s="6" t="s">
        <v>78</v>
      </c>
    </row>
    <row r="7" spans="1:7" x14ac:dyDescent="0.25">
      <c r="A7" s="7" t="s">
        <v>5</v>
      </c>
      <c r="B7" s="8"/>
      <c r="C7" s="8"/>
      <c r="D7" s="8"/>
      <c r="E7" s="8"/>
      <c r="F7" s="8"/>
      <c r="G7" s="8"/>
    </row>
    <row r="8" spans="1:7" ht="15.75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</row>
    <row r="9" spans="1:7" x14ac:dyDescent="0.25">
      <c r="A9" s="2" t="s">
        <v>13</v>
      </c>
      <c r="B9" s="3">
        <v>156</v>
      </c>
      <c r="C9" s="3">
        <v>152</v>
      </c>
      <c r="D9" s="3">
        <v>0</v>
      </c>
      <c r="E9" s="3">
        <v>1</v>
      </c>
      <c r="F9" s="3">
        <v>97</v>
      </c>
      <c r="G9" s="2" t="s">
        <v>14</v>
      </c>
    </row>
    <row r="10" spans="1:7" x14ac:dyDescent="0.25">
      <c r="A10" s="2" t="s">
        <v>15</v>
      </c>
      <c r="B10" s="3">
        <v>289</v>
      </c>
      <c r="C10" s="3">
        <v>268</v>
      </c>
      <c r="D10" s="3">
        <v>0</v>
      </c>
      <c r="E10" s="3">
        <v>3</v>
      </c>
      <c r="F10" s="3">
        <v>92</v>
      </c>
      <c r="G10" s="2" t="s">
        <v>16</v>
      </c>
    </row>
    <row r="11" spans="1:7" x14ac:dyDescent="0.25">
      <c r="A11" s="2" t="s">
        <v>17</v>
      </c>
      <c r="B11" s="3">
        <v>198</v>
      </c>
      <c r="C11" s="3">
        <v>187</v>
      </c>
      <c r="D11" s="3">
        <v>0</v>
      </c>
      <c r="E11" s="3">
        <v>2</v>
      </c>
      <c r="F11" s="3">
        <v>94</v>
      </c>
      <c r="G11" s="2" t="s">
        <v>14</v>
      </c>
    </row>
    <row r="12" spans="1:7" x14ac:dyDescent="0.25">
      <c r="A12" s="2" t="s">
        <v>18</v>
      </c>
      <c r="B12" s="3">
        <v>204</v>
      </c>
      <c r="C12" s="3">
        <v>182</v>
      </c>
      <c r="D12" s="3">
        <v>0</v>
      </c>
      <c r="E12" s="3">
        <v>4</v>
      </c>
      <c r="F12" s="3">
        <v>89</v>
      </c>
      <c r="G12" s="2" t="s">
        <v>16</v>
      </c>
    </row>
    <row r="13" spans="1:7" x14ac:dyDescent="0.25">
      <c r="A13" s="4" t="s">
        <v>19</v>
      </c>
      <c r="B13" s="4">
        <f>SUM(B9:B12)</f>
        <v>847</v>
      </c>
      <c r="C13" s="4">
        <f>SUM(C9:C12)</f>
        <v>789</v>
      </c>
      <c r="D13" s="4">
        <f>SUM(D9:D12)</f>
        <v>0</v>
      </c>
      <c r="E13" s="4">
        <f>SUM(E9:E12)</f>
        <v>10</v>
      </c>
      <c r="F13" s="4">
        <f>ROUND(C13/B13*100,0)</f>
        <v>93</v>
      </c>
    </row>
    <row r="15" spans="1:7" x14ac:dyDescent="0.25">
      <c r="A15" s="7" t="s">
        <v>20</v>
      </c>
      <c r="B15" s="8"/>
      <c r="C15" s="8"/>
    </row>
    <row r="16" spans="1:7" ht="15.75" x14ac:dyDescent="0.25">
      <c r="A16" s="5" t="s">
        <v>21</v>
      </c>
      <c r="B16" s="5" t="s">
        <v>22</v>
      </c>
      <c r="C16" s="5" t="s">
        <v>12</v>
      </c>
    </row>
    <row r="17" spans="1:5" x14ac:dyDescent="0.25">
      <c r="A17" s="2" t="s">
        <v>23</v>
      </c>
      <c r="B17" s="2">
        <v>2</v>
      </c>
      <c r="C17" s="2" t="s">
        <v>24</v>
      </c>
    </row>
    <row r="18" spans="1:5" x14ac:dyDescent="0.25">
      <c r="A18" s="2" t="s">
        <v>25</v>
      </c>
      <c r="B18" s="2">
        <v>8</v>
      </c>
      <c r="C18" s="2" t="s">
        <v>26</v>
      </c>
    </row>
    <row r="19" spans="1:5" x14ac:dyDescent="0.25">
      <c r="A19" s="2" t="s">
        <v>27</v>
      </c>
      <c r="B19" s="2">
        <v>22</v>
      </c>
      <c r="C19" s="2" t="s">
        <v>28</v>
      </c>
    </row>
    <row r="20" spans="1:5" x14ac:dyDescent="0.25">
      <c r="A20" s="2" t="s">
        <v>29</v>
      </c>
      <c r="B20" s="2">
        <v>16</v>
      </c>
      <c r="C20" s="2" t="s">
        <v>30</v>
      </c>
    </row>
    <row r="22" spans="1:5" x14ac:dyDescent="0.25">
      <c r="A22" s="7" t="s">
        <v>31</v>
      </c>
      <c r="B22" s="8"/>
    </row>
    <row r="23" spans="1:5" ht="15.75" x14ac:dyDescent="0.25">
      <c r="A23" s="5" t="s">
        <v>32</v>
      </c>
      <c r="B23" s="5" t="s">
        <v>33</v>
      </c>
    </row>
    <row r="24" spans="1:5" x14ac:dyDescent="0.25">
      <c r="A24" s="2" t="s">
        <v>34</v>
      </c>
      <c r="B24" s="3">
        <v>90</v>
      </c>
    </row>
    <row r="25" spans="1:5" x14ac:dyDescent="0.25">
      <c r="A25" s="2" t="s">
        <v>35</v>
      </c>
      <c r="B25" s="3">
        <v>85</v>
      </c>
    </row>
    <row r="26" spans="1:5" x14ac:dyDescent="0.25">
      <c r="A26" s="2" t="s">
        <v>36</v>
      </c>
      <c r="B26" s="3">
        <v>60</v>
      </c>
    </row>
    <row r="27" spans="1:5" x14ac:dyDescent="0.25">
      <c r="A27" s="2" t="s">
        <v>81</v>
      </c>
      <c r="B27" s="3">
        <v>60</v>
      </c>
    </row>
    <row r="28" spans="1:5" x14ac:dyDescent="0.25">
      <c r="A28" s="2" t="s">
        <v>37</v>
      </c>
      <c r="B28" s="3">
        <v>75</v>
      </c>
    </row>
    <row r="30" spans="1:5" x14ac:dyDescent="0.25">
      <c r="A30" s="7" t="s">
        <v>38</v>
      </c>
      <c r="B30" s="8"/>
      <c r="C30" s="8"/>
      <c r="D30" s="8"/>
      <c r="E30" s="8"/>
    </row>
    <row r="31" spans="1:5" ht="15.75" x14ac:dyDescent="0.25">
      <c r="A31" s="5" t="s">
        <v>39</v>
      </c>
      <c r="B31" s="5" t="s">
        <v>40</v>
      </c>
      <c r="C31" s="5" t="s">
        <v>21</v>
      </c>
      <c r="D31" s="5" t="s">
        <v>41</v>
      </c>
      <c r="E31" s="5" t="s">
        <v>42</v>
      </c>
    </row>
    <row r="32" spans="1:5" x14ac:dyDescent="0.25">
      <c r="A32" s="2" t="s">
        <v>43</v>
      </c>
      <c r="B32" s="2" t="s">
        <v>44</v>
      </c>
      <c r="C32" s="2" t="s">
        <v>45</v>
      </c>
      <c r="D32" s="2" t="s">
        <v>46</v>
      </c>
      <c r="E32" s="2" t="s">
        <v>47</v>
      </c>
    </row>
    <row r="33" spans="1:5" x14ac:dyDescent="0.25">
      <c r="A33" s="2" t="s">
        <v>48</v>
      </c>
      <c r="B33" s="2" t="s">
        <v>49</v>
      </c>
      <c r="C33" s="2" t="s">
        <v>45</v>
      </c>
      <c r="D33" s="2" t="s">
        <v>3</v>
      </c>
      <c r="E33" s="2" t="s">
        <v>50</v>
      </c>
    </row>
    <row r="34" spans="1:5" x14ac:dyDescent="0.25">
      <c r="A34" s="2" t="s">
        <v>51</v>
      </c>
      <c r="B34" s="2" t="s">
        <v>52</v>
      </c>
      <c r="C34" s="2" t="s">
        <v>53</v>
      </c>
      <c r="D34" s="2" t="s">
        <v>46</v>
      </c>
      <c r="E34" s="2" t="s">
        <v>54</v>
      </c>
    </row>
  </sheetData>
  <mergeCells count="5">
    <mergeCell ref="A30:E30"/>
    <mergeCell ref="A1:F1"/>
    <mergeCell ref="A7:G7"/>
    <mergeCell ref="A15:C15"/>
    <mergeCell ref="A22:B22"/>
  </mergeCells>
  <hyperlinks>
    <hyperlink ref="B5" r:id="rId1" xr:uid="{D1B0FFCC-F8C0-467B-92E6-1BFD7ADF6A8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D26" sqref="D26"/>
    </sheetView>
  </sheetViews>
  <sheetFormatPr defaultRowHeight="15" x14ac:dyDescent="0.25"/>
  <cols>
    <col min="1" max="1" width="25" customWidth="1"/>
    <col min="2" max="2" width="15" customWidth="1"/>
    <col min="3" max="6" width="12" customWidth="1"/>
    <col min="7" max="7" width="15" customWidth="1"/>
  </cols>
  <sheetData>
    <row r="1" spans="1:7" ht="18.75" x14ac:dyDescent="0.3">
      <c r="A1" s="9" t="s">
        <v>55</v>
      </c>
      <c r="B1" s="8"/>
      <c r="C1" s="8"/>
      <c r="D1" s="8"/>
      <c r="E1" s="8"/>
      <c r="F1" s="8"/>
    </row>
    <row r="3" spans="1:7" x14ac:dyDescent="0.25">
      <c r="A3" t="s">
        <v>1</v>
      </c>
      <c r="B3" t="s">
        <v>79</v>
      </c>
    </row>
    <row r="4" spans="1:7" x14ac:dyDescent="0.25">
      <c r="A4" t="s">
        <v>56</v>
      </c>
      <c r="B4" t="s">
        <v>77</v>
      </c>
    </row>
    <row r="5" spans="1:7" x14ac:dyDescent="0.25">
      <c r="A5" t="s">
        <v>4</v>
      </c>
      <c r="B5" s="6" t="s">
        <v>78</v>
      </c>
    </row>
    <row r="7" spans="1:7" x14ac:dyDescent="0.25">
      <c r="A7" s="7" t="s">
        <v>58</v>
      </c>
      <c r="B7" s="8"/>
      <c r="C7" s="8"/>
      <c r="D7" s="8"/>
      <c r="E7" s="8"/>
      <c r="F7" s="8"/>
      <c r="G7" s="8"/>
    </row>
    <row r="8" spans="1:7" ht="15.75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</row>
    <row r="9" spans="1:7" x14ac:dyDescent="0.25">
      <c r="A9" s="2" t="s">
        <v>59</v>
      </c>
      <c r="B9" s="3">
        <v>78</v>
      </c>
      <c r="C9" s="3">
        <v>76</v>
      </c>
      <c r="D9" s="3">
        <v>0</v>
      </c>
      <c r="E9" s="3">
        <v>0</v>
      </c>
      <c r="F9" s="3">
        <v>97</v>
      </c>
      <c r="G9" s="2" t="s">
        <v>14</v>
      </c>
    </row>
    <row r="10" spans="1:7" x14ac:dyDescent="0.25">
      <c r="A10" s="2" t="s">
        <v>60</v>
      </c>
      <c r="B10" s="3">
        <v>92</v>
      </c>
      <c r="C10" s="3">
        <v>78</v>
      </c>
      <c r="D10" s="3">
        <v>0</v>
      </c>
      <c r="E10" s="3">
        <v>2</v>
      </c>
      <c r="F10" s="3">
        <v>85</v>
      </c>
      <c r="G10" s="2" t="s">
        <v>16</v>
      </c>
    </row>
    <row r="11" spans="1:7" x14ac:dyDescent="0.25">
      <c r="A11" s="2" t="s">
        <v>61</v>
      </c>
      <c r="B11" s="3">
        <v>68</v>
      </c>
      <c r="C11" s="3">
        <v>61</v>
      </c>
      <c r="D11" s="3">
        <v>0</v>
      </c>
      <c r="E11" s="3">
        <v>2</v>
      </c>
      <c r="F11" s="3">
        <v>90</v>
      </c>
      <c r="G11" s="2" t="s">
        <v>62</v>
      </c>
    </row>
    <row r="12" spans="1:7" x14ac:dyDescent="0.25">
      <c r="A12" s="2" t="s">
        <v>63</v>
      </c>
      <c r="B12" s="3">
        <v>82</v>
      </c>
      <c r="C12" s="3">
        <v>65</v>
      </c>
      <c r="D12" s="3">
        <v>0</v>
      </c>
      <c r="E12" s="3">
        <v>3</v>
      </c>
      <c r="F12" s="3">
        <v>79</v>
      </c>
      <c r="G12" s="2" t="s">
        <v>64</v>
      </c>
    </row>
    <row r="13" spans="1:7" x14ac:dyDescent="0.25">
      <c r="A13" s="4" t="s">
        <v>19</v>
      </c>
      <c r="B13" s="4">
        <f>SUM(B9:B12)</f>
        <v>320</v>
      </c>
      <c r="C13" s="4">
        <f>SUM(C9:C12)</f>
        <v>280</v>
      </c>
      <c r="D13" s="4">
        <f>SUM(D9:D12)</f>
        <v>0</v>
      </c>
      <c r="E13" s="4">
        <f>SUM(E9:E12)</f>
        <v>7</v>
      </c>
      <c r="F13" s="4">
        <f>ROUND(C13/B13*100,0)</f>
        <v>88</v>
      </c>
    </row>
    <row r="15" spans="1:7" x14ac:dyDescent="0.25">
      <c r="A15" s="7" t="s">
        <v>20</v>
      </c>
      <c r="B15" s="8"/>
      <c r="C15" s="8"/>
    </row>
    <row r="16" spans="1:7" ht="15.75" x14ac:dyDescent="0.25">
      <c r="A16" s="5" t="s">
        <v>21</v>
      </c>
      <c r="B16" s="5" t="s">
        <v>22</v>
      </c>
      <c r="C16" s="5" t="s">
        <v>12</v>
      </c>
    </row>
    <row r="17" spans="1:5" x14ac:dyDescent="0.25">
      <c r="A17" s="2" t="s">
        <v>23</v>
      </c>
      <c r="B17" s="2">
        <v>2</v>
      </c>
      <c r="C17" s="2" t="s">
        <v>24</v>
      </c>
    </row>
    <row r="18" spans="1:5" x14ac:dyDescent="0.25">
      <c r="A18" s="2" t="s">
        <v>25</v>
      </c>
      <c r="B18" s="2">
        <v>4</v>
      </c>
      <c r="C18" s="2" t="s">
        <v>26</v>
      </c>
    </row>
    <row r="19" spans="1:5" x14ac:dyDescent="0.25">
      <c r="A19" s="2" t="s">
        <v>27</v>
      </c>
      <c r="B19" s="2">
        <v>10</v>
      </c>
      <c r="C19" s="2" t="s">
        <v>28</v>
      </c>
    </row>
    <row r="20" spans="1:5" x14ac:dyDescent="0.25">
      <c r="A20" s="2" t="s">
        <v>29</v>
      </c>
      <c r="B20" s="2">
        <v>5</v>
      </c>
      <c r="C20" s="2" t="s">
        <v>30</v>
      </c>
    </row>
    <row r="22" spans="1:5" x14ac:dyDescent="0.25">
      <c r="A22" s="7" t="s">
        <v>31</v>
      </c>
      <c r="B22" s="8"/>
    </row>
    <row r="23" spans="1:5" ht="15.75" x14ac:dyDescent="0.25">
      <c r="A23" s="5" t="s">
        <v>32</v>
      </c>
      <c r="B23" s="5" t="s">
        <v>33</v>
      </c>
    </row>
    <row r="24" spans="1:5" x14ac:dyDescent="0.25">
      <c r="A24" s="2" t="s">
        <v>65</v>
      </c>
      <c r="B24" s="3">
        <v>99</v>
      </c>
    </row>
    <row r="25" spans="1:5" x14ac:dyDescent="0.25">
      <c r="A25" s="2" t="s">
        <v>60</v>
      </c>
      <c r="B25" s="3">
        <v>77</v>
      </c>
    </row>
    <row r="26" spans="1:5" x14ac:dyDescent="0.25">
      <c r="A26" s="2" t="s">
        <v>80</v>
      </c>
      <c r="B26" s="3">
        <v>77</v>
      </c>
    </row>
    <row r="27" spans="1:5" x14ac:dyDescent="0.25">
      <c r="A27" s="2" t="s">
        <v>61</v>
      </c>
      <c r="B27" s="3">
        <v>44</v>
      </c>
    </row>
    <row r="28" spans="1:5" x14ac:dyDescent="0.25">
      <c r="A28" s="2" t="s">
        <v>66</v>
      </c>
      <c r="B28" s="3">
        <v>55</v>
      </c>
    </row>
    <row r="30" spans="1:5" x14ac:dyDescent="0.25">
      <c r="A30" s="7" t="s">
        <v>38</v>
      </c>
      <c r="B30" s="8"/>
      <c r="C30" s="8"/>
      <c r="D30" s="8"/>
      <c r="E30" s="8"/>
    </row>
    <row r="31" spans="1:5" ht="15.75" x14ac:dyDescent="0.25">
      <c r="A31" s="5" t="s">
        <v>39</v>
      </c>
      <c r="B31" s="5" t="s">
        <v>40</v>
      </c>
      <c r="C31" s="5" t="s">
        <v>21</v>
      </c>
      <c r="D31" s="5" t="s">
        <v>41</v>
      </c>
      <c r="E31" s="5" t="s">
        <v>42</v>
      </c>
    </row>
    <row r="32" spans="1:5" x14ac:dyDescent="0.25">
      <c r="A32" s="2" t="s">
        <v>67</v>
      </c>
      <c r="B32" s="2" t="s">
        <v>68</v>
      </c>
      <c r="C32" s="2" t="s">
        <v>45</v>
      </c>
      <c r="D32" s="2" t="s">
        <v>57</v>
      </c>
      <c r="E32" s="2" t="s">
        <v>69</v>
      </c>
    </row>
    <row r="33" spans="1:5" x14ac:dyDescent="0.25">
      <c r="A33" s="2" t="s">
        <v>70</v>
      </c>
      <c r="B33" s="2" t="s">
        <v>71</v>
      </c>
      <c r="C33" s="2" t="s">
        <v>53</v>
      </c>
      <c r="D33" s="2" t="s">
        <v>72</v>
      </c>
      <c r="E33" s="2" t="s">
        <v>73</v>
      </c>
    </row>
    <row r="34" spans="1:5" x14ac:dyDescent="0.25">
      <c r="A34" s="2" t="s">
        <v>74</v>
      </c>
      <c r="B34" s="2" t="s">
        <v>75</v>
      </c>
      <c r="C34" s="2" t="s">
        <v>53</v>
      </c>
      <c r="D34" s="2" t="s">
        <v>57</v>
      </c>
      <c r="E34" s="2" t="s">
        <v>76</v>
      </c>
    </row>
  </sheetData>
  <mergeCells count="5">
    <mergeCell ref="A30:E30"/>
    <mergeCell ref="A1:F1"/>
    <mergeCell ref="A7:G7"/>
    <mergeCell ref="A15:C15"/>
    <mergeCell ref="A22:B22"/>
  </mergeCells>
  <hyperlinks>
    <hyperlink ref="B5" r:id="rId1" xr:uid="{67D84E60-6C48-4FC5-8462-11FC88F6DFF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Data</vt:lpstr>
      <vt:lpstr>Web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Williams</cp:lastModifiedBy>
  <dcterms:created xsi:type="dcterms:W3CDTF">2026-01-11T22:53:12Z</dcterms:created>
  <dcterms:modified xsi:type="dcterms:W3CDTF">2026-01-12T00:04:54Z</dcterms:modified>
</cp:coreProperties>
</file>